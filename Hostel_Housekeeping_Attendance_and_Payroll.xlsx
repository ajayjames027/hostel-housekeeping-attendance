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_Master" sheetId="1" state="visible" r:id="rId1"/>
    <sheet name="Printable_Sign_Sheet" sheetId="2" state="visible" r:id="rId2"/>
    <sheet name="Attendance_Log" sheetId="3" state="visible" r:id="rId3"/>
    <sheet name="Monthly_Remune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sz val="9"/>
    </font>
    <font>
      <name val="Calibri"/>
      <b val="1"/>
      <color rgb="00006100"/>
      <sz val="11"/>
    </font>
    <font>
      <name val="Calibri"/>
      <b val="1"/>
      <color rgb="001F497D"/>
      <sz val="13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DCDB"/>
        <bgColor rgb="00F2DCDB"/>
      </patternFill>
    </fill>
    <fill>
      <patternFill patternType="solid">
        <fgColor rgb="00EBF1DE"/>
        <bgColor rgb="00EBF1D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 style="thin">
        <color rgb="00D9D9D9"/>
      </left>
      <right style="thin">
        <color rgb="00D9D9D9"/>
      </right>
      <top style="thin">
        <color rgb="00595959"/>
      </top>
      <bottom style="double">
        <color rgb="0059595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2" pivotButton="0" quotePrefix="0" xfId="0"/>
    <xf numFmtId="0" fontId="4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6" fillId="0" borderId="0" pivotButton="0" quotePrefix="0" xfId="0"/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4" fillId="5" borderId="2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 wrapText="1"/>
    </xf>
    <xf numFmtId="0" fontId="4" fillId="0" borderId="2" pivotButton="0" quotePrefix="0" xfId="0"/>
    <xf numFmtId="164" fontId="0" fillId="0" borderId="2" pivotButton="0" quotePrefix="0" xfId="0"/>
    <xf numFmtId="0" fontId="4" fillId="0" borderId="2" applyAlignment="1" pivotButton="0" quotePrefix="0" xfId="0">
      <alignment horizontal="center"/>
    </xf>
    <xf numFmtId="164" fontId="4" fillId="0" borderId="2" pivotButton="0" quotePrefix="0" xfId="0"/>
    <xf numFmtId="164" fontId="7" fillId="5" borderId="2" pivotButton="0" quotePrefix="0" xfId="0"/>
    <xf numFmtId="0" fontId="4" fillId="3" borderId="3" applyAlignment="1" pivotButton="0" quotePrefix="0" xfId="0">
      <alignment horizontal="center" vertical="center"/>
    </xf>
    <xf numFmtId="0" fontId="0" fillId="0" borderId="3" pivotButton="0" quotePrefix="0" xfId="0"/>
    <xf numFmtId="164" fontId="4" fillId="3" borderId="3" pivotButton="0" quotePrefix="0" xfId="0"/>
    <xf numFmtId="164" fontId="8" fillId="3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32" customWidth="1" min="4" max="4"/>
    <col width="25" customWidth="1" min="5" max="5"/>
    <col width="23" customWidth="1" min="6" max="6"/>
    <col width="14" customWidth="1" min="7" max="7"/>
    <col width="16" customWidth="1" min="8" max="8"/>
    <col width="30" customWidth="1" min="9" max="9"/>
  </cols>
  <sheetData>
    <row r="1">
      <c r="A1" s="1" t="inlineStr">
        <is>
          <t>HOSTEL &amp; FACILITY HOUSEKEEPING MANAGEMENT</t>
        </is>
      </c>
    </row>
    <row r="2">
      <c r="A2" s="2" t="inlineStr">
        <is>
          <t>Housekeeping Staff Directory &amp; Master Settings | October 2026</t>
        </is>
      </c>
    </row>
    <row r="3"/>
    <row r="4">
      <c r="A4" s="3" t="inlineStr">
        <is>
          <t>Staff ID</t>
        </is>
      </c>
      <c r="B4" s="3" t="inlineStr">
        <is>
          <t>Full Name</t>
        </is>
      </c>
      <c r="C4" s="3" t="inlineStr">
        <is>
          <t>Assigned Location / Hostel</t>
        </is>
      </c>
      <c r="D4" s="3" t="inlineStr">
        <is>
          <t>Designation</t>
        </is>
      </c>
      <c r="E4" s="3" t="inlineStr">
        <is>
          <t>Monthly Base Wage (₹)</t>
        </is>
      </c>
      <c r="F4" s="3" t="inlineStr">
        <is>
          <t>Daily Wage Rate (₹)</t>
        </is>
      </c>
      <c r="G4" s="3" t="inlineStr">
        <is>
          <t>Weekly Off</t>
        </is>
      </c>
      <c r="H4" s="3" t="inlineStr">
        <is>
          <t>Payment Mode</t>
        </is>
      </c>
      <c r="I4" s="3" t="inlineStr">
        <is>
          <t>Bank / UPI Details</t>
        </is>
      </c>
    </row>
    <row r="5">
      <c r="A5" s="4" t="inlineStr">
        <is>
          <t>HK-01</t>
        </is>
      </c>
      <c r="B5" s="5" t="inlineStr">
        <is>
          <t>Ms. Arputhamani</t>
        </is>
      </c>
      <c r="C5" s="5" t="inlineStr">
        <is>
          <t>MBA Hostel</t>
        </is>
      </c>
      <c r="D5" s="6" t="inlineStr">
        <is>
          <t>Housekeeper / MBA Hostel</t>
        </is>
      </c>
      <c r="E5" s="7" t="n">
        <v>11000</v>
      </c>
      <c r="F5" s="7">
        <f>E5/31</f>
        <v/>
      </c>
      <c r="G5" s="4" t="inlineStr">
        <is>
          <t>Sunday</t>
        </is>
      </c>
      <c r="H5" s="4" t="inlineStr">
        <is>
          <t>Bank / Cash</t>
        </is>
      </c>
      <c r="I5" s="6" t="inlineStr">
        <is>
          <t>MBA Hostel Desk</t>
        </is>
      </c>
    </row>
    <row r="6">
      <c r="A6" s="4" t="inlineStr">
        <is>
          <t>HK-02</t>
        </is>
      </c>
      <c r="B6" s="5" t="inlineStr">
        <is>
          <t>Mr. R. Sakthivelan</t>
        </is>
      </c>
      <c r="C6" s="5" t="inlineStr">
        <is>
          <t>Sports Hostel</t>
        </is>
      </c>
      <c r="D6" s="6" t="inlineStr">
        <is>
          <t>Housekeeper / Sports Hostel</t>
        </is>
      </c>
      <c r="E6" s="7" t="n">
        <v>11000</v>
      </c>
      <c r="F6" s="7">
        <f>E6/31</f>
        <v/>
      </c>
      <c r="G6" s="4" t="inlineStr">
        <is>
          <t>Sunday</t>
        </is>
      </c>
      <c r="H6" s="4" t="inlineStr">
        <is>
          <t>Bank / Cash</t>
        </is>
      </c>
      <c r="I6" s="6" t="inlineStr">
        <is>
          <t>Sports Hostel Desk</t>
        </is>
      </c>
    </row>
    <row r="7">
      <c r="A7" s="4" t="inlineStr">
        <is>
          <t>HK-03</t>
        </is>
      </c>
      <c r="B7" s="5" t="inlineStr">
        <is>
          <t>Ms. Revathi</t>
        </is>
      </c>
      <c r="C7" s="5" t="inlineStr">
        <is>
          <t>Toulouse Arena</t>
        </is>
      </c>
      <c r="D7" s="6" t="inlineStr">
        <is>
          <t>Housekeeper / Toulouse Arena</t>
        </is>
      </c>
      <c r="E7" s="7" t="n">
        <v>11000</v>
      </c>
      <c r="F7" s="7">
        <f>E7/31</f>
        <v/>
      </c>
      <c r="G7" s="4" t="inlineStr">
        <is>
          <t>Sunday</t>
        </is>
      </c>
      <c r="H7" s="4" t="inlineStr">
        <is>
          <t>Bank / Cash</t>
        </is>
      </c>
      <c r="I7" s="6" t="inlineStr">
        <is>
          <t>Toulouse Arena Desk</t>
        </is>
      </c>
    </row>
    <row r="8"/>
    <row r="9"/>
    <row r="10">
      <c r="A10" s="8" t="inlineStr">
        <is>
          <t>System Instructions:</t>
        </is>
      </c>
    </row>
    <row r="11">
      <c r="A11" s="9" t="inlineStr">
        <is>
          <t>1. Printable_Sign_Sheet: Print at the start of the month and display at respective hostel/arena housekeeping desks.</t>
        </is>
      </c>
    </row>
    <row r="12">
      <c r="A12" s="9" t="inlineStr">
        <is>
          <t>2. Attendance_Log: Daily attendance (P = Present, HD = Half Day, WO = Weekly Off, PL = Paid Leave, A = Absent).</t>
        </is>
      </c>
    </row>
    <row r="13">
      <c r="A13" s="9" t="inlineStr">
        <is>
          <t>3. Monthly_Remuneration: Calculates gross and net wages automatically based on payable days.</t>
        </is>
      </c>
    </row>
    <row r="14">
      <c r="A14" s="9" t="inlineStr">
        <is>
          <t>4. Ready for wage disbursement with signature acknowledgement.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HOSTEL &amp; FACILITY HOUSEKEEPING MANAGEMENT</t>
        </is>
      </c>
    </row>
    <row r="2">
      <c r="A2" s="2" t="inlineStr">
        <is>
          <t>DAILY HOUSEKEEPING ATTENDANCE &amp; SIGNATURE REGISTER - OCTOBER 2026</t>
        </is>
      </c>
    </row>
    <row r="4">
      <c r="A4" s="10" t="inlineStr">
        <is>
          <t>Date</t>
        </is>
      </c>
      <c r="B4" s="10" t="inlineStr">
        <is>
          <t>Day</t>
        </is>
      </c>
      <c r="C4" s="11" t="inlineStr">
        <is>
          <t>Ms. Arputhamani [MBA Hostel]</t>
        </is>
      </c>
      <c r="F4" s="11" t="inlineStr">
        <is>
          <t>Mr. R. Sakthivelan [Sports Hostel]</t>
        </is>
      </c>
      <c r="I4" s="11" t="inlineStr">
        <is>
          <t>Ms. Revathi [Toulouse Arena]</t>
        </is>
      </c>
    </row>
    <row r="5">
      <c r="A5" s="12" t="n"/>
      <c r="B5" s="12" t="n"/>
      <c r="C5" s="13" t="inlineStr">
        <is>
          <t>In Time / Sig</t>
        </is>
      </c>
      <c r="D5" s="13" t="inlineStr">
        <is>
          <t>Out Time / Sig</t>
        </is>
      </c>
      <c r="E5" s="13" t="inlineStr">
        <is>
          <t>Status (P/A/HD)</t>
        </is>
      </c>
      <c r="F5" s="13" t="inlineStr">
        <is>
          <t>In Time / Sig</t>
        </is>
      </c>
      <c r="G5" s="13" t="inlineStr">
        <is>
          <t>Out Time / Sig</t>
        </is>
      </c>
      <c r="H5" s="13" t="inlineStr">
        <is>
          <t>Status (P/A/HD)</t>
        </is>
      </c>
      <c r="I5" s="13" t="inlineStr">
        <is>
          <t>In Time / Sig</t>
        </is>
      </c>
      <c r="J5" s="13" t="inlineStr">
        <is>
          <t>Out Time / Sig</t>
        </is>
      </c>
      <c r="K5" s="13" t="inlineStr">
        <is>
          <t>Status (P/A/HD)</t>
        </is>
      </c>
    </row>
    <row r="6">
      <c r="A6" s="14" t="n">
        <v>1</v>
      </c>
      <c r="B6" s="14" t="inlineStr">
        <is>
          <t>Thu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>
      <c r="A7" s="14" t="n">
        <v>2</v>
      </c>
      <c r="B7" s="14" t="inlineStr">
        <is>
          <t>Fri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>
      <c r="A8" s="14" t="n">
        <v>3</v>
      </c>
      <c r="B8" s="14" t="inlineStr">
        <is>
          <t>Sat</t>
        </is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>
      <c r="A9" s="15" t="n">
        <v>4</v>
      </c>
      <c r="B9" s="15" t="inlineStr">
        <is>
          <t>Sun</t>
        </is>
      </c>
      <c r="C9" s="15" t="inlineStr">
        <is>
          <t>-</t>
        </is>
      </c>
      <c r="D9" s="15" t="inlineStr">
        <is>
          <t>-</t>
        </is>
      </c>
      <c r="E9" s="15" t="inlineStr">
        <is>
          <t>WO</t>
        </is>
      </c>
      <c r="F9" s="15" t="inlineStr">
        <is>
          <t>-</t>
        </is>
      </c>
      <c r="G9" s="15" t="inlineStr">
        <is>
          <t>-</t>
        </is>
      </c>
      <c r="H9" s="15" t="inlineStr">
        <is>
          <t>WO</t>
        </is>
      </c>
      <c r="I9" s="15" t="inlineStr">
        <is>
          <t>-</t>
        </is>
      </c>
      <c r="J9" s="15" t="inlineStr">
        <is>
          <t>-</t>
        </is>
      </c>
      <c r="K9" s="15" t="inlineStr">
        <is>
          <t>WO</t>
        </is>
      </c>
    </row>
    <row r="10">
      <c r="A10" s="14" t="n">
        <v>5</v>
      </c>
      <c r="B10" s="14" t="inlineStr">
        <is>
          <t>Mon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</row>
    <row r="11">
      <c r="A11" s="14" t="n">
        <v>6</v>
      </c>
      <c r="B11" s="14" t="inlineStr">
        <is>
          <t>Tue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>
      <c r="A12" s="14" t="n">
        <v>7</v>
      </c>
      <c r="B12" s="14" t="inlineStr">
        <is>
          <t>Wed</t>
        </is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</row>
    <row r="13">
      <c r="A13" s="14" t="n">
        <v>8</v>
      </c>
      <c r="B13" s="14" t="inlineStr">
        <is>
          <t>Thu</t>
        </is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</row>
    <row r="14">
      <c r="A14" s="14" t="n">
        <v>9</v>
      </c>
      <c r="B14" s="14" t="inlineStr">
        <is>
          <t>Fri</t>
        </is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</row>
    <row r="15">
      <c r="A15" s="14" t="n">
        <v>10</v>
      </c>
      <c r="B15" s="14" t="inlineStr">
        <is>
          <t>Sat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>
      <c r="A16" s="15" t="n">
        <v>11</v>
      </c>
      <c r="B16" s="15" t="inlineStr">
        <is>
          <t>Sun</t>
        </is>
      </c>
      <c r="C16" s="15" t="inlineStr">
        <is>
          <t>-</t>
        </is>
      </c>
      <c r="D16" s="15" t="inlineStr">
        <is>
          <t>-</t>
        </is>
      </c>
      <c r="E16" s="15" t="inlineStr">
        <is>
          <t>WO</t>
        </is>
      </c>
      <c r="F16" s="15" t="inlineStr">
        <is>
          <t>-</t>
        </is>
      </c>
      <c r="G16" s="15" t="inlineStr">
        <is>
          <t>-</t>
        </is>
      </c>
      <c r="H16" s="15" t="inlineStr">
        <is>
          <t>WO</t>
        </is>
      </c>
      <c r="I16" s="15" t="inlineStr">
        <is>
          <t>-</t>
        </is>
      </c>
      <c r="J16" s="15" t="inlineStr">
        <is>
          <t>-</t>
        </is>
      </c>
      <c r="K16" s="15" t="inlineStr">
        <is>
          <t>WO</t>
        </is>
      </c>
    </row>
    <row r="17">
      <c r="A17" s="14" t="n">
        <v>12</v>
      </c>
      <c r="B17" s="14" t="inlineStr">
        <is>
          <t>Mon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</row>
    <row r="18">
      <c r="A18" s="14" t="n">
        <v>13</v>
      </c>
      <c r="B18" s="14" t="inlineStr">
        <is>
          <t>Tue</t>
        </is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</row>
    <row r="19">
      <c r="A19" s="14" t="n">
        <v>14</v>
      </c>
      <c r="B19" s="14" t="inlineStr">
        <is>
          <t>Wed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</row>
    <row r="20">
      <c r="A20" s="14" t="n">
        <v>15</v>
      </c>
      <c r="B20" s="14" t="inlineStr">
        <is>
          <t>Thu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14" t="n">
        <v>16</v>
      </c>
      <c r="B21" s="14" t="inlineStr">
        <is>
          <t>Fri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</row>
    <row r="22">
      <c r="A22" s="14" t="n">
        <v>17</v>
      </c>
      <c r="B22" s="14" t="inlineStr">
        <is>
          <t>Sat</t>
        </is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15" t="n">
        <v>18</v>
      </c>
      <c r="B23" s="15" t="inlineStr">
        <is>
          <t>Sun</t>
        </is>
      </c>
      <c r="C23" s="15" t="inlineStr">
        <is>
          <t>-</t>
        </is>
      </c>
      <c r="D23" s="15" t="inlineStr">
        <is>
          <t>-</t>
        </is>
      </c>
      <c r="E23" s="15" t="inlineStr">
        <is>
          <t>WO</t>
        </is>
      </c>
      <c r="F23" s="15" t="inlineStr">
        <is>
          <t>-</t>
        </is>
      </c>
      <c r="G23" s="15" t="inlineStr">
        <is>
          <t>-</t>
        </is>
      </c>
      <c r="H23" s="15" t="inlineStr">
        <is>
          <t>WO</t>
        </is>
      </c>
      <c r="I23" s="15" t="inlineStr">
        <is>
          <t>-</t>
        </is>
      </c>
      <c r="J23" s="15" t="inlineStr">
        <is>
          <t>-</t>
        </is>
      </c>
      <c r="K23" s="15" t="inlineStr">
        <is>
          <t>WO</t>
        </is>
      </c>
    </row>
    <row r="24">
      <c r="A24" s="14" t="n">
        <v>19</v>
      </c>
      <c r="B24" s="14" t="inlineStr">
        <is>
          <t>Mon</t>
        </is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</row>
    <row r="25">
      <c r="A25" s="14" t="n">
        <v>20</v>
      </c>
      <c r="B25" s="14" t="inlineStr">
        <is>
          <t>Tue</t>
        </is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</row>
    <row r="26">
      <c r="A26" s="14" t="n">
        <v>21</v>
      </c>
      <c r="B26" s="14" t="inlineStr">
        <is>
          <t>Wed</t>
        </is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</row>
    <row r="27">
      <c r="A27" s="14" t="n">
        <v>22</v>
      </c>
      <c r="B27" s="14" t="inlineStr">
        <is>
          <t>Thu</t>
        </is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14" t="n">
        <v>23</v>
      </c>
      <c r="B28" s="14" t="inlineStr">
        <is>
          <t>Fri</t>
        </is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</row>
    <row r="29">
      <c r="A29" s="14" t="n">
        <v>24</v>
      </c>
      <c r="B29" s="14" t="inlineStr">
        <is>
          <t>Sat</t>
        </is>
      </c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</row>
    <row r="30">
      <c r="A30" s="15" t="n">
        <v>25</v>
      </c>
      <c r="B30" s="15" t="inlineStr">
        <is>
          <t>Sun</t>
        </is>
      </c>
      <c r="C30" s="15" t="inlineStr">
        <is>
          <t>-</t>
        </is>
      </c>
      <c r="D30" s="15" t="inlineStr">
        <is>
          <t>-</t>
        </is>
      </c>
      <c r="E30" s="15" t="inlineStr">
        <is>
          <t>WO</t>
        </is>
      </c>
      <c r="F30" s="15" t="inlineStr">
        <is>
          <t>-</t>
        </is>
      </c>
      <c r="G30" s="15" t="inlineStr">
        <is>
          <t>-</t>
        </is>
      </c>
      <c r="H30" s="15" t="inlineStr">
        <is>
          <t>WO</t>
        </is>
      </c>
      <c r="I30" s="15" t="inlineStr">
        <is>
          <t>-</t>
        </is>
      </c>
      <c r="J30" s="15" t="inlineStr">
        <is>
          <t>-</t>
        </is>
      </c>
      <c r="K30" s="15" t="inlineStr">
        <is>
          <t>WO</t>
        </is>
      </c>
    </row>
    <row r="31">
      <c r="A31" s="14" t="n">
        <v>26</v>
      </c>
      <c r="B31" s="14" t="inlineStr">
        <is>
          <t>Mon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</row>
    <row r="32">
      <c r="A32" s="14" t="n">
        <v>27</v>
      </c>
      <c r="B32" s="14" t="inlineStr">
        <is>
          <t>Tue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</row>
    <row r="33">
      <c r="A33" s="14" t="n">
        <v>28</v>
      </c>
      <c r="B33" s="14" t="inlineStr">
        <is>
          <t>Wed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</row>
    <row r="34">
      <c r="A34" s="14" t="n">
        <v>29</v>
      </c>
      <c r="B34" s="14" t="inlineStr">
        <is>
          <t>Thu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</row>
    <row r="35">
      <c r="A35" s="14" t="n">
        <v>30</v>
      </c>
      <c r="B35" s="14" t="inlineStr">
        <is>
          <t>Fri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</row>
    <row r="36">
      <c r="A36" s="14" t="n">
        <v>31</v>
      </c>
      <c r="B36" s="14" t="inlineStr">
        <is>
          <t>Sat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</row>
    <row r="37">
      <c r="A37" s="16" t="inlineStr">
        <is>
          <t>Total Present Days</t>
        </is>
      </c>
      <c r="B37" s="17" t="n"/>
      <c r="C37" s="16" t="inlineStr">
        <is>
          <t>________________ Days</t>
        </is>
      </c>
      <c r="D37" s="17" t="n"/>
      <c r="E37" s="17" t="n"/>
      <c r="F37" s="16" t="inlineStr">
        <is>
          <t>________________ Days</t>
        </is>
      </c>
      <c r="G37" s="17" t="n"/>
      <c r="H37" s="17" t="n"/>
      <c r="I37" s="16" t="inlineStr">
        <is>
          <t>________________ Days</t>
        </is>
      </c>
      <c r="J37" s="17" t="n"/>
      <c r="K37" s="17" t="n"/>
    </row>
  </sheetData>
  <mergeCells count="9">
    <mergeCell ref="B4:B5"/>
    <mergeCell ref="C37:E37"/>
    <mergeCell ref="A4:A5"/>
    <mergeCell ref="I37:K37"/>
    <mergeCell ref="A37:B37"/>
    <mergeCell ref="C4:E4"/>
    <mergeCell ref="F4:H4"/>
    <mergeCell ref="I4:K4"/>
    <mergeCell ref="F37:H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HOSTEL &amp; FACILITY HOUSEKEEPING MANAGEMENT</t>
        </is>
      </c>
    </row>
    <row r="2">
      <c r="A2" s="2" t="inlineStr">
        <is>
          <t>Monthly Attendance Log &amp; Calculation Matrix - October 2026</t>
        </is>
      </c>
    </row>
    <row r="4">
      <c r="A4" s="8" t="inlineStr">
        <is>
          <t>Legend:</t>
        </is>
      </c>
      <c r="B4" s="18" t="inlineStr">
        <is>
          <t>P: Present (1.0)</t>
        </is>
      </c>
      <c r="C4" s="18" t="inlineStr">
        <is>
          <t>HD: Half Day (0.5)</t>
        </is>
      </c>
      <c r="D4" s="18" t="inlineStr">
        <is>
          <t>WO: Weekly Off (1.0 Paid)</t>
        </is>
      </c>
      <c r="E4" s="18" t="inlineStr">
        <is>
          <t>PL: Paid Leave (1.0 Paid)</t>
        </is>
      </c>
      <c r="F4" s="18" t="inlineStr">
        <is>
          <t>A: Absent / LOP (0.0)</t>
        </is>
      </c>
    </row>
    <row r="6">
      <c r="A6" s="10" t="inlineStr">
        <is>
          <t>ID</t>
        </is>
      </c>
      <c r="B6" s="10" t="inlineStr">
        <is>
          <t>Staff Name</t>
        </is>
      </c>
      <c r="C6" s="10" t="inlineStr">
        <is>
          <t>Location</t>
        </is>
      </c>
      <c r="D6" s="10" t="inlineStr">
        <is>
          <t>1</t>
        </is>
      </c>
      <c r="E6" s="10" t="inlineStr">
        <is>
          <t>2</t>
        </is>
      </c>
      <c r="F6" s="10" t="inlineStr">
        <is>
          <t>3</t>
        </is>
      </c>
      <c r="G6" s="10" t="inlineStr">
        <is>
          <t>4</t>
        </is>
      </c>
      <c r="H6" s="10" t="inlineStr">
        <is>
          <t>5</t>
        </is>
      </c>
      <c r="I6" s="10" t="inlineStr">
        <is>
          <t>6</t>
        </is>
      </c>
      <c r="J6" s="10" t="inlineStr">
        <is>
          <t>7</t>
        </is>
      </c>
      <c r="K6" s="10" t="inlineStr">
        <is>
          <t>8</t>
        </is>
      </c>
      <c r="L6" s="10" t="inlineStr">
        <is>
          <t>9</t>
        </is>
      </c>
      <c r="M6" s="10" t="inlineStr">
        <is>
          <t>10</t>
        </is>
      </c>
      <c r="N6" s="10" t="inlineStr">
        <is>
          <t>11</t>
        </is>
      </c>
      <c r="O6" s="10" t="inlineStr">
        <is>
          <t>12</t>
        </is>
      </c>
      <c r="P6" s="10" t="inlineStr">
        <is>
          <t>13</t>
        </is>
      </c>
      <c r="Q6" s="10" t="inlineStr">
        <is>
          <t>14</t>
        </is>
      </c>
      <c r="R6" s="10" t="inlineStr">
        <is>
          <t>15</t>
        </is>
      </c>
      <c r="S6" s="10" t="inlineStr">
        <is>
          <t>16</t>
        </is>
      </c>
      <c r="T6" s="10" t="inlineStr">
        <is>
          <t>17</t>
        </is>
      </c>
      <c r="U6" s="10" t="inlineStr">
        <is>
          <t>18</t>
        </is>
      </c>
      <c r="V6" s="10" t="inlineStr">
        <is>
          <t>19</t>
        </is>
      </c>
      <c r="W6" s="10" t="inlineStr">
        <is>
          <t>20</t>
        </is>
      </c>
      <c r="X6" s="10" t="inlineStr">
        <is>
          <t>21</t>
        </is>
      </c>
      <c r="Y6" s="10" t="inlineStr">
        <is>
          <t>22</t>
        </is>
      </c>
      <c r="Z6" s="10" t="inlineStr">
        <is>
          <t>23</t>
        </is>
      </c>
      <c r="AA6" s="10" t="inlineStr">
        <is>
          <t>24</t>
        </is>
      </c>
      <c r="AB6" s="10" t="inlineStr">
        <is>
          <t>25</t>
        </is>
      </c>
      <c r="AC6" s="10" t="inlineStr">
        <is>
          <t>26</t>
        </is>
      </c>
      <c r="AD6" s="10" t="inlineStr">
        <is>
          <t>27</t>
        </is>
      </c>
      <c r="AE6" s="10" t="inlineStr">
        <is>
          <t>28</t>
        </is>
      </c>
      <c r="AF6" s="10" t="inlineStr">
        <is>
          <t>29</t>
        </is>
      </c>
      <c r="AG6" s="10" t="inlineStr">
        <is>
          <t>30</t>
        </is>
      </c>
      <c r="AH6" s="10" t="inlineStr">
        <is>
          <t>31</t>
        </is>
      </c>
      <c r="AI6" s="10" t="inlineStr">
        <is>
          <t>Present (P)</t>
        </is>
      </c>
      <c r="AJ6" s="10" t="inlineStr">
        <is>
          <t>Half Day (HD)</t>
        </is>
      </c>
      <c r="AK6" s="10" t="inlineStr">
        <is>
          <t>Weekly Off (WO)</t>
        </is>
      </c>
      <c r="AL6" s="10" t="inlineStr">
        <is>
          <t>Paid Leave (PL)</t>
        </is>
      </c>
      <c r="AM6" s="10" t="inlineStr">
        <is>
          <t>Absent (A)</t>
        </is>
      </c>
      <c r="AN6" s="10" t="inlineStr">
        <is>
          <t>Total Payable Days</t>
        </is>
      </c>
    </row>
    <row r="7">
      <c r="A7" s="19" t="inlineStr"/>
      <c r="B7" s="19" t="inlineStr"/>
      <c r="C7" s="19" t="inlineStr">
        <is>
          <t>Day:</t>
        </is>
      </c>
      <c r="D7" s="20" t="inlineStr">
        <is>
          <t>Th</t>
        </is>
      </c>
      <c r="E7" s="20" t="inlineStr">
        <is>
          <t>Fr</t>
        </is>
      </c>
      <c r="F7" s="20" t="inlineStr">
        <is>
          <t>Sa</t>
        </is>
      </c>
      <c r="G7" s="21" t="inlineStr">
        <is>
          <t>Su</t>
        </is>
      </c>
      <c r="H7" s="20" t="inlineStr">
        <is>
          <t>Mo</t>
        </is>
      </c>
      <c r="I7" s="20" t="inlineStr">
        <is>
          <t>Tu</t>
        </is>
      </c>
      <c r="J7" s="20" t="inlineStr">
        <is>
          <t>We</t>
        </is>
      </c>
      <c r="K7" s="20" t="inlineStr">
        <is>
          <t>Th</t>
        </is>
      </c>
      <c r="L7" s="20" t="inlineStr">
        <is>
          <t>Fr</t>
        </is>
      </c>
      <c r="M7" s="20" t="inlineStr">
        <is>
          <t>Sa</t>
        </is>
      </c>
      <c r="N7" s="21" t="inlineStr">
        <is>
          <t>Su</t>
        </is>
      </c>
      <c r="O7" s="20" t="inlineStr">
        <is>
          <t>Mo</t>
        </is>
      </c>
      <c r="P7" s="20" t="inlineStr">
        <is>
          <t>Tu</t>
        </is>
      </c>
      <c r="Q7" s="20" t="inlineStr">
        <is>
          <t>We</t>
        </is>
      </c>
      <c r="R7" s="20" t="inlineStr">
        <is>
          <t>Th</t>
        </is>
      </c>
      <c r="S7" s="20" t="inlineStr">
        <is>
          <t>Fr</t>
        </is>
      </c>
      <c r="T7" s="20" t="inlineStr">
        <is>
          <t>Sa</t>
        </is>
      </c>
      <c r="U7" s="21" t="inlineStr">
        <is>
          <t>Su</t>
        </is>
      </c>
      <c r="V7" s="20" t="inlineStr">
        <is>
          <t>Mo</t>
        </is>
      </c>
      <c r="W7" s="20" t="inlineStr">
        <is>
          <t>Tu</t>
        </is>
      </c>
      <c r="X7" s="20" t="inlineStr">
        <is>
          <t>We</t>
        </is>
      </c>
      <c r="Y7" s="20" t="inlineStr">
        <is>
          <t>Th</t>
        </is>
      </c>
      <c r="Z7" s="20" t="inlineStr">
        <is>
          <t>Fr</t>
        </is>
      </c>
      <c r="AA7" s="20" t="inlineStr">
        <is>
          <t>Sa</t>
        </is>
      </c>
      <c r="AB7" s="21" t="inlineStr">
        <is>
          <t>Su</t>
        </is>
      </c>
      <c r="AC7" s="20" t="inlineStr">
        <is>
          <t>Mo</t>
        </is>
      </c>
      <c r="AD7" s="20" t="inlineStr">
        <is>
          <t>Tu</t>
        </is>
      </c>
      <c r="AE7" s="20" t="inlineStr">
        <is>
          <t>We</t>
        </is>
      </c>
      <c r="AF7" s="20" t="inlineStr">
        <is>
          <t>Th</t>
        </is>
      </c>
      <c r="AG7" s="20" t="inlineStr">
        <is>
          <t>Fr</t>
        </is>
      </c>
      <c r="AH7" s="20" t="inlineStr">
        <is>
          <t>Sa</t>
        </is>
      </c>
      <c r="AI7" s="19" t="inlineStr"/>
      <c r="AJ7" s="19" t="inlineStr"/>
      <c r="AK7" s="19" t="inlineStr"/>
      <c r="AL7" s="19" t="inlineStr"/>
      <c r="AM7" s="19" t="inlineStr"/>
      <c r="AN7" s="19" t="inlineStr"/>
    </row>
    <row r="8">
      <c r="A8" s="4" t="inlineStr">
        <is>
          <t>HK-01</t>
        </is>
      </c>
      <c r="B8" s="5" t="inlineStr">
        <is>
          <t>Ms. Arputhamani</t>
        </is>
      </c>
      <c r="C8" s="6" t="inlineStr">
        <is>
          <t>MBA Hostel</t>
        </is>
      </c>
      <c r="D8" s="22" t="inlineStr">
        <is>
          <t>P</t>
        </is>
      </c>
      <c r="E8" s="22" t="inlineStr">
        <is>
          <t>P</t>
        </is>
      </c>
      <c r="F8" s="22" t="inlineStr">
        <is>
          <t>P</t>
        </is>
      </c>
      <c r="G8" s="23" t="inlineStr">
        <is>
          <t>WO</t>
        </is>
      </c>
      <c r="H8" s="22" t="inlineStr">
        <is>
          <t>P</t>
        </is>
      </c>
      <c r="I8" s="22" t="inlineStr">
        <is>
          <t>P</t>
        </is>
      </c>
      <c r="J8" s="22" t="inlineStr">
        <is>
          <t>P</t>
        </is>
      </c>
      <c r="K8" s="22" t="inlineStr">
        <is>
          <t>P</t>
        </is>
      </c>
      <c r="L8" s="22" t="inlineStr">
        <is>
          <t>P</t>
        </is>
      </c>
      <c r="M8" s="22" t="inlineStr">
        <is>
          <t>P</t>
        </is>
      </c>
      <c r="N8" s="23" t="inlineStr">
        <is>
          <t>WO</t>
        </is>
      </c>
      <c r="O8" s="22" t="inlineStr">
        <is>
          <t>P</t>
        </is>
      </c>
      <c r="P8" s="22" t="inlineStr">
        <is>
          <t>P</t>
        </is>
      </c>
      <c r="Q8" s="22" t="inlineStr">
        <is>
          <t>P</t>
        </is>
      </c>
      <c r="R8" s="22" t="inlineStr">
        <is>
          <t>P</t>
        </is>
      </c>
      <c r="S8" s="22" t="inlineStr">
        <is>
          <t>P</t>
        </is>
      </c>
      <c r="T8" s="22" t="inlineStr">
        <is>
          <t>P</t>
        </is>
      </c>
      <c r="U8" s="23" t="inlineStr">
        <is>
          <t>WO</t>
        </is>
      </c>
      <c r="V8" s="22" t="inlineStr">
        <is>
          <t>P</t>
        </is>
      </c>
      <c r="W8" s="22" t="inlineStr">
        <is>
          <t>P</t>
        </is>
      </c>
      <c r="X8" s="22" t="inlineStr">
        <is>
          <t>P</t>
        </is>
      </c>
      <c r="Y8" s="22" t="inlineStr">
        <is>
          <t>P</t>
        </is>
      </c>
      <c r="Z8" s="22" t="inlineStr">
        <is>
          <t>P</t>
        </is>
      </c>
      <c r="AA8" s="22" t="inlineStr">
        <is>
          <t>P</t>
        </is>
      </c>
      <c r="AB8" s="23" t="inlineStr">
        <is>
          <t>WO</t>
        </is>
      </c>
      <c r="AC8" s="22" t="inlineStr">
        <is>
          <t>P</t>
        </is>
      </c>
      <c r="AD8" s="22" t="inlineStr">
        <is>
          <t>P</t>
        </is>
      </c>
      <c r="AE8" s="22" t="inlineStr">
        <is>
          <t>P</t>
        </is>
      </c>
      <c r="AF8" s="22" t="inlineStr">
        <is>
          <t>P</t>
        </is>
      </c>
      <c r="AG8" s="22" t="inlineStr">
        <is>
          <t>P</t>
        </is>
      </c>
      <c r="AH8" s="22" t="inlineStr">
        <is>
          <t>P</t>
        </is>
      </c>
      <c r="AI8" s="24">
        <f>COUNTIF(D8:AH8, "P")</f>
        <v/>
      </c>
      <c r="AJ8" s="24">
        <f>COUNTIF(D8:AH8, "HD")</f>
        <v/>
      </c>
      <c r="AK8" s="24">
        <f>COUNTIF(D8:AH8, "WO")</f>
        <v/>
      </c>
      <c r="AL8" s="24">
        <f>COUNTIF(D8:AH8, "PL")</f>
        <v/>
      </c>
      <c r="AM8" s="24">
        <f>COUNTIF(D8:AH8, "A")</f>
        <v/>
      </c>
      <c r="AN8" s="25">
        <f>AI8 + (AJ8*0.5) + AK8 + AL8</f>
        <v/>
      </c>
    </row>
    <row r="9">
      <c r="A9" s="4" t="inlineStr">
        <is>
          <t>HK-02</t>
        </is>
      </c>
      <c r="B9" s="5" t="inlineStr">
        <is>
          <t>Mr. R. Sakthivelan</t>
        </is>
      </c>
      <c r="C9" s="6" t="inlineStr">
        <is>
          <t>Sports Hostel</t>
        </is>
      </c>
      <c r="D9" s="22" t="inlineStr">
        <is>
          <t>P</t>
        </is>
      </c>
      <c r="E9" s="22" t="inlineStr">
        <is>
          <t>P</t>
        </is>
      </c>
      <c r="F9" s="22" t="inlineStr">
        <is>
          <t>P</t>
        </is>
      </c>
      <c r="G9" s="23" t="inlineStr">
        <is>
          <t>WO</t>
        </is>
      </c>
      <c r="H9" s="22" t="inlineStr">
        <is>
          <t>P</t>
        </is>
      </c>
      <c r="I9" s="22" t="inlineStr">
        <is>
          <t>P</t>
        </is>
      </c>
      <c r="J9" s="22" t="inlineStr">
        <is>
          <t>P</t>
        </is>
      </c>
      <c r="K9" s="22" t="inlineStr">
        <is>
          <t>P</t>
        </is>
      </c>
      <c r="L9" s="22" t="inlineStr">
        <is>
          <t>P</t>
        </is>
      </c>
      <c r="M9" s="22" t="inlineStr">
        <is>
          <t>P</t>
        </is>
      </c>
      <c r="N9" s="23" t="inlineStr">
        <is>
          <t>WO</t>
        </is>
      </c>
      <c r="O9" s="22" t="inlineStr">
        <is>
          <t>P</t>
        </is>
      </c>
      <c r="P9" s="22" t="inlineStr">
        <is>
          <t>P</t>
        </is>
      </c>
      <c r="Q9" s="22" t="inlineStr">
        <is>
          <t>P</t>
        </is>
      </c>
      <c r="R9" s="22" t="inlineStr">
        <is>
          <t>P</t>
        </is>
      </c>
      <c r="S9" s="22" t="inlineStr">
        <is>
          <t>P</t>
        </is>
      </c>
      <c r="T9" s="22" t="inlineStr">
        <is>
          <t>P</t>
        </is>
      </c>
      <c r="U9" s="23" t="inlineStr">
        <is>
          <t>WO</t>
        </is>
      </c>
      <c r="V9" s="22" t="inlineStr">
        <is>
          <t>P</t>
        </is>
      </c>
      <c r="W9" s="22" t="inlineStr">
        <is>
          <t>P</t>
        </is>
      </c>
      <c r="X9" s="22" t="inlineStr">
        <is>
          <t>P</t>
        </is>
      </c>
      <c r="Y9" s="22" t="inlineStr">
        <is>
          <t>P</t>
        </is>
      </c>
      <c r="Z9" s="22" t="inlineStr">
        <is>
          <t>P</t>
        </is>
      </c>
      <c r="AA9" s="22" t="inlineStr">
        <is>
          <t>P</t>
        </is>
      </c>
      <c r="AB9" s="23" t="inlineStr">
        <is>
          <t>WO</t>
        </is>
      </c>
      <c r="AC9" s="22" t="inlineStr">
        <is>
          <t>P</t>
        </is>
      </c>
      <c r="AD9" s="22" t="inlineStr">
        <is>
          <t>P</t>
        </is>
      </c>
      <c r="AE9" s="22" t="inlineStr">
        <is>
          <t>P</t>
        </is>
      </c>
      <c r="AF9" s="22" t="inlineStr">
        <is>
          <t>P</t>
        </is>
      </c>
      <c r="AG9" s="22" t="inlineStr">
        <is>
          <t>P</t>
        </is>
      </c>
      <c r="AH9" s="22" t="inlineStr">
        <is>
          <t>P</t>
        </is>
      </c>
      <c r="AI9" s="24">
        <f>COUNTIF(D9:AH9, "P")</f>
        <v/>
      </c>
      <c r="AJ9" s="24">
        <f>COUNTIF(D9:AH9, "HD")</f>
        <v/>
      </c>
      <c r="AK9" s="24">
        <f>COUNTIF(D9:AH9, "WO")</f>
        <v/>
      </c>
      <c r="AL9" s="24">
        <f>COUNTIF(D9:AH9, "PL")</f>
        <v/>
      </c>
      <c r="AM9" s="24">
        <f>COUNTIF(D9:AH9, "A")</f>
        <v/>
      </c>
      <c r="AN9" s="25">
        <f>AI9 + (AJ9*0.5) + AK9 + AL9</f>
        <v/>
      </c>
    </row>
    <row r="10">
      <c r="A10" s="4" t="inlineStr">
        <is>
          <t>HK-03</t>
        </is>
      </c>
      <c r="B10" s="5" t="inlineStr">
        <is>
          <t>Ms. Revathi</t>
        </is>
      </c>
      <c r="C10" s="6" t="inlineStr">
        <is>
          <t>Toulouse Arena</t>
        </is>
      </c>
      <c r="D10" s="22" t="inlineStr">
        <is>
          <t>P</t>
        </is>
      </c>
      <c r="E10" s="22" t="inlineStr">
        <is>
          <t>P</t>
        </is>
      </c>
      <c r="F10" s="22" t="inlineStr">
        <is>
          <t>P</t>
        </is>
      </c>
      <c r="G10" s="23" t="inlineStr">
        <is>
          <t>WO</t>
        </is>
      </c>
      <c r="H10" s="22" t="inlineStr">
        <is>
          <t>P</t>
        </is>
      </c>
      <c r="I10" s="22" t="inlineStr">
        <is>
          <t>P</t>
        </is>
      </c>
      <c r="J10" s="22" t="inlineStr">
        <is>
          <t>P</t>
        </is>
      </c>
      <c r="K10" s="22" t="inlineStr">
        <is>
          <t>P</t>
        </is>
      </c>
      <c r="L10" s="22" t="inlineStr">
        <is>
          <t>P</t>
        </is>
      </c>
      <c r="M10" s="22" t="inlineStr">
        <is>
          <t>P</t>
        </is>
      </c>
      <c r="N10" s="23" t="inlineStr">
        <is>
          <t>WO</t>
        </is>
      </c>
      <c r="O10" s="22" t="inlineStr">
        <is>
          <t>P</t>
        </is>
      </c>
      <c r="P10" s="22" t="inlineStr">
        <is>
          <t>P</t>
        </is>
      </c>
      <c r="Q10" s="22" t="inlineStr">
        <is>
          <t>P</t>
        </is>
      </c>
      <c r="R10" s="22" t="inlineStr">
        <is>
          <t>P</t>
        </is>
      </c>
      <c r="S10" s="22" t="inlineStr">
        <is>
          <t>P</t>
        </is>
      </c>
      <c r="T10" s="22" t="inlineStr">
        <is>
          <t>P</t>
        </is>
      </c>
      <c r="U10" s="23" t="inlineStr">
        <is>
          <t>WO</t>
        </is>
      </c>
      <c r="V10" s="22" t="inlineStr">
        <is>
          <t>P</t>
        </is>
      </c>
      <c r="W10" s="22" t="inlineStr">
        <is>
          <t>P</t>
        </is>
      </c>
      <c r="X10" s="22" t="inlineStr">
        <is>
          <t>P</t>
        </is>
      </c>
      <c r="Y10" s="22" t="inlineStr">
        <is>
          <t>P</t>
        </is>
      </c>
      <c r="Z10" s="22" t="inlineStr">
        <is>
          <t>P</t>
        </is>
      </c>
      <c r="AA10" s="22" t="inlineStr">
        <is>
          <t>P</t>
        </is>
      </c>
      <c r="AB10" s="23" t="inlineStr">
        <is>
          <t>WO</t>
        </is>
      </c>
      <c r="AC10" s="22" t="inlineStr">
        <is>
          <t>P</t>
        </is>
      </c>
      <c r="AD10" s="22" t="inlineStr">
        <is>
          <t>P</t>
        </is>
      </c>
      <c r="AE10" s="22" t="inlineStr">
        <is>
          <t>P</t>
        </is>
      </c>
      <c r="AF10" s="22" t="inlineStr">
        <is>
          <t>P</t>
        </is>
      </c>
      <c r="AG10" s="22" t="inlineStr">
        <is>
          <t>P</t>
        </is>
      </c>
      <c r="AH10" s="22" t="inlineStr">
        <is>
          <t>P</t>
        </is>
      </c>
      <c r="AI10" s="24">
        <f>COUNTIF(D10:AH10, "P")</f>
        <v/>
      </c>
      <c r="AJ10" s="24">
        <f>COUNTIF(D10:AH10, "HD")</f>
        <v/>
      </c>
      <c r="AK10" s="24">
        <f>COUNTIF(D10:AH10, "WO")</f>
        <v/>
      </c>
      <c r="AL10" s="24">
        <f>COUNTIF(D10:AH10, "PL")</f>
        <v/>
      </c>
      <c r="AM10" s="24">
        <f>COUNTIF(D10:AH10, "A")</f>
        <v/>
      </c>
      <c r="AN10" s="25">
        <f>AI10 + (AJ10*0.5) + AK10 + AL10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2" customWidth="1" min="5" max="5"/>
    <col width="24" customWidth="1" min="6" max="6"/>
    <col width="25" customWidth="1" min="7" max="7"/>
    <col width="36" customWidth="1" min="8" max="8"/>
    <col width="26" customWidth="1" min="9" max="9"/>
    <col width="28" customWidth="1" min="10" max="10"/>
    <col width="20" customWidth="1" min="11" max="11"/>
    <col width="20" customWidth="1" min="12" max="12"/>
    <col width="24" customWidth="1" min="13" max="13"/>
  </cols>
  <sheetData>
    <row r="1">
      <c r="A1" s="1" t="inlineStr">
        <is>
          <t>HOSTEL &amp; FACILITY HOUSEKEEPING MANAGEMENT</t>
        </is>
      </c>
    </row>
    <row r="2">
      <c r="A2" s="2" t="inlineStr">
        <is>
          <t>HOUSEKEEPING REMUNERATION &amp; WAGE DISBURSEMENT REGISTER - OCTOBER 2026</t>
        </is>
      </c>
    </row>
    <row r="3"/>
    <row r="4">
      <c r="A4" s="26" t="inlineStr">
        <is>
          <t>Staff ID</t>
        </is>
      </c>
      <c r="B4" s="26" t="inlineStr">
        <is>
          <t>Staff Name</t>
        </is>
      </c>
      <c r="C4" s="26" t="inlineStr">
        <is>
          <t>Location</t>
        </is>
      </c>
      <c r="D4" s="26" t="inlineStr">
        <is>
          <t>Monthly Base (₹)</t>
        </is>
      </c>
      <c r="E4" s="26" t="inlineStr">
        <is>
          <t>Days in Month (31)</t>
        </is>
      </c>
      <c r="F4" s="26" t="inlineStr">
        <is>
          <t>Payable Days</t>
        </is>
      </c>
      <c r="G4" s="26" t="inlineStr">
        <is>
          <t>Earned Basic Wage (₹)</t>
        </is>
      </c>
      <c r="H4" s="26" t="inlineStr">
        <is>
          <t>Special / Overtime Allowance (₹)</t>
        </is>
      </c>
      <c r="I4" s="26" t="inlineStr">
        <is>
          <t>Gross Remuneration (₹)</t>
        </is>
      </c>
      <c r="J4" s="26" t="inlineStr">
        <is>
          <t>Advance / Deductions (₹)</t>
        </is>
      </c>
      <c r="K4" s="26" t="inlineStr">
        <is>
          <t>NET PAYABLE WAGE (₹)</t>
        </is>
      </c>
      <c r="L4" s="26" t="inlineStr">
        <is>
          <t>Payment Mode</t>
        </is>
      </c>
      <c r="M4" s="26" t="inlineStr">
        <is>
          <t>Staff Signature / Date</t>
        </is>
      </c>
    </row>
    <row r="5">
      <c r="A5" s="24">
        <f>Staff_Master!A5</f>
        <v/>
      </c>
      <c r="B5" s="27">
        <f>Staff_Master!B5</f>
        <v/>
      </c>
      <c r="C5" s="17">
        <f>Staff_Master!C5</f>
        <v/>
      </c>
      <c r="D5" s="28">
        <f>Staff_Master!E5</f>
        <v/>
      </c>
      <c r="E5" s="24" t="n">
        <v>31</v>
      </c>
      <c r="F5" s="29">
        <f>Attendance_Log!AN8</f>
        <v/>
      </c>
      <c r="G5" s="28">
        <f>(D5/E5)*F5</f>
        <v/>
      </c>
      <c r="H5" s="28" t="n">
        <v>0</v>
      </c>
      <c r="I5" s="30">
        <f>G5+H5</f>
        <v/>
      </c>
      <c r="J5" s="28" t="n">
        <v>0</v>
      </c>
      <c r="K5" s="31">
        <f>I5-J5</f>
        <v/>
      </c>
      <c r="L5" s="24">
        <f>Staff_Master!H5</f>
        <v/>
      </c>
      <c r="M5" s="17" t="inlineStr"/>
    </row>
    <row r="6">
      <c r="A6" s="24">
        <f>Staff_Master!A6</f>
        <v/>
      </c>
      <c r="B6" s="27">
        <f>Staff_Master!B6</f>
        <v/>
      </c>
      <c r="C6" s="17">
        <f>Staff_Master!C6</f>
        <v/>
      </c>
      <c r="D6" s="28">
        <f>Staff_Master!E6</f>
        <v/>
      </c>
      <c r="E6" s="24" t="n">
        <v>31</v>
      </c>
      <c r="F6" s="29">
        <f>Attendance_Log!AN9</f>
        <v/>
      </c>
      <c r="G6" s="28">
        <f>(D6/E6)*F6</f>
        <v/>
      </c>
      <c r="H6" s="28" t="n">
        <v>0</v>
      </c>
      <c r="I6" s="30">
        <f>G6+H6</f>
        <v/>
      </c>
      <c r="J6" s="28" t="n">
        <v>0</v>
      </c>
      <c r="K6" s="31">
        <f>I6-J6</f>
        <v/>
      </c>
      <c r="L6" s="24">
        <f>Staff_Master!H6</f>
        <v/>
      </c>
      <c r="M6" s="17" t="inlineStr"/>
    </row>
    <row r="7">
      <c r="A7" s="24">
        <f>Staff_Master!A7</f>
        <v/>
      </c>
      <c r="B7" s="27">
        <f>Staff_Master!B7</f>
        <v/>
      </c>
      <c r="C7" s="17">
        <f>Staff_Master!C7</f>
        <v/>
      </c>
      <c r="D7" s="28">
        <f>Staff_Master!E7</f>
        <v/>
      </c>
      <c r="E7" s="24" t="n">
        <v>31</v>
      </c>
      <c r="F7" s="29">
        <f>Attendance_Log!AN10</f>
        <v/>
      </c>
      <c r="G7" s="28">
        <f>(D7/E7)*F7</f>
        <v/>
      </c>
      <c r="H7" s="28" t="n">
        <v>0</v>
      </c>
      <c r="I7" s="30">
        <f>G7+H7</f>
        <v/>
      </c>
      <c r="J7" s="28" t="n">
        <v>0</v>
      </c>
      <c r="K7" s="31">
        <f>I7-J7</f>
        <v/>
      </c>
      <c r="L7" s="24">
        <f>Staff_Master!H7</f>
        <v/>
      </c>
      <c r="M7" s="17" t="inlineStr"/>
    </row>
    <row r="8">
      <c r="A8" s="32" t="inlineStr">
        <is>
          <t>TOTAL REMUNERATION</t>
        </is>
      </c>
      <c r="B8" s="33" t="n"/>
      <c r="C8" s="33" t="n"/>
      <c r="D8" s="34">
        <f>SUM(D5:D7)</f>
        <v/>
      </c>
      <c r="E8" s="33" t="n"/>
      <c r="F8" s="33" t="n"/>
      <c r="G8" s="34">
        <f>SUM(G5:G7)</f>
        <v/>
      </c>
      <c r="H8" s="34">
        <f>SUM(H5:H7)</f>
        <v/>
      </c>
      <c r="I8" s="34">
        <f>SUM(I5:I7)</f>
        <v/>
      </c>
      <c r="J8" s="34">
        <f>SUM(J5:J7)</f>
        <v/>
      </c>
      <c r="K8" s="35">
        <f>SUM(K5:K7)</f>
        <v/>
      </c>
      <c r="L8" s="33" t="n"/>
      <c r="M8" s="33" t="n"/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2026-10-07T06:38:36Z</dcterms:created>
  <dcterms:modified xsi:type="dcterms:W3CDTF">2026-10-07T06:38:36Z</dcterms:modified>
</cp:coreProperties>
</file>